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E TEST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<sst xmlns="http://schemas.openxmlformats.org/spreadsheetml/2006/main" count="52" uniqueCount="42">
  <si>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r>
      <rPr>
        <b val="true"/>
        <sz val="26"/>
        <color theme="1"/>
        <rFont val="Calibri"/>
        <family val="2"/>
        <charset val="1"/>
      </rPr>
      <t xml:space="preserve">PROJETS YDAYS 2526
</t>
    </r>
    <r>
      <rPr>
        <b val="true"/>
        <sz val="16"/>
        <color theme="1"/>
        <rFont val="Calibri"/>
        <family val="2"/>
        <charset val="1"/>
      </rPr>
      <t xml:space="preserve">Oral S1 </t>
    </r>
  </si>
  <si>
    <t xml:space="preserve">Jury n° :</t>
  </si>
  <si>
    <t xml:space="preserve">Nom de l'équipe YDAYS :</t>
  </si>
  <si>
    <t xml:space="preserve">NOM PRENOM DES ABSENTS</t>
  </si>
  <si>
    <t xml:space="preserve">Mettez une croix sous le niveau d'acquisition - ATTENTION ne pas mettre 2 croix sur la même ligne compétence</t>
  </si>
  <si>
    <t xml:space="preserve">Compétences</t>
  </si>
  <si>
    <t xml:space="preserve">Non 
evaluable</t>
  </si>
  <si>
    <t xml:space="preserve">Non
acquise</t>
  </si>
  <si>
    <t xml:space="preserve">En cours 
d'acquisition</t>
  </si>
  <si>
    <t xml:space="preserve">Acquise</t>
  </si>
  <si>
    <t xml:space="preserve">Maitrisée</t>
  </si>
  <si>
    <t xml:space="preserve">Pitch projet</t>
  </si>
  <si>
    <t xml:space="preserve">Introduit la genèse du projet ou le brief client s'il s'agit d'un projet extérieur (raison d'être, sens)</t>
  </si>
  <si>
    <t xml:space="preserve">Identifie clairement la problématique et ses conséquences directes ou indirectes</t>
  </si>
  <si>
    <t xml:space="preserve">Présente le résultat des premières interviews terrain et vos conclusions</t>
  </si>
  <si>
    <t xml:space="preserve">Clarté du problématique exposée</t>
  </si>
  <si>
    <t xml:space="preserve">Gestion de projet et animation de l'équipe</t>
  </si>
  <si>
    <t xml:space="preserve">Présente l'organisation et le pilotage du projet (rétroplanning, outil de gestion projets)</t>
  </si>
  <si>
    <t xml:space="preserve">Détaille les étapes importantes du projet, les livrables et les deadlines associés</t>
  </si>
  <si>
    <t xml:space="preserve">Détaille les risques du projet </t>
  </si>
  <si>
    <t xml:space="preserve">Explique le système d'organisation mis en place au sein de l'équipe (fonctionnement et rituels)</t>
  </si>
  <si>
    <t xml:space="preserve">Questions &amp; Réponses</t>
  </si>
  <si>
    <t xml:space="preserve">Capacité à répondre aux questions</t>
  </si>
  <si>
    <t xml:space="preserve">Les questions sont traitées avec concision</t>
  </si>
  <si>
    <t xml:space="preserve">L'argumentation est solide et s'appuie sur des faits. Les justifications sont pertinentes, concrètes et cohérentes. </t>
  </si>
  <si>
    <t xml:space="preserve">Présentation orale et dynamique d'équipe</t>
  </si>
  <si>
    <t xml:space="preserve">L'équipe s'exprime avec aisance</t>
  </si>
  <si>
    <t xml:space="preserve">La présentation a été préparée et le discours est adapté au jury</t>
  </si>
  <si>
    <t xml:space="preserve">Capacité de l'équipe à être claire et pédagogue</t>
  </si>
  <si>
    <t xml:space="preserve">Le timing de présentation (10') est respecté</t>
  </si>
  <si>
    <t xml:space="preserve">La répartition du temps de parole est adaptée en fonction du rôle et des compétences de chacun</t>
  </si>
  <si>
    <t xml:space="preserve">Posture professionnelle (attitude, niveau de langue, tenue adaptée)</t>
  </si>
  <si>
    <t xml:space="preserve">Qualité du support diffusé</t>
  </si>
  <si>
    <t xml:space="preserve">Le support est clair et agréable </t>
  </si>
  <si>
    <t xml:space="preserve">Le support est structuré</t>
  </si>
  <si>
    <t xml:space="preserve">Le support vient appuyer la présentation orale</t>
  </si>
  <si>
    <t xml:space="preserve">Capacité de l'équipe à ne pas lire le support</t>
  </si>
  <si>
    <t xml:space="preserve">Fautes d'orthographe, syntaxe, grammaire</t>
  </si>
  <si>
    <t xml:space="preserve">Note finale</t>
  </si>
  <si>
    <t xml:space="preserve">Commentaires du jury </t>
  </si>
  <si>
    <t xml:space="preserve">Les résultats des évaluations correspondent à l'ensemble des conditions validation du projet YDAYS</t>
  </si>
  <si>
    <t xml:space="preserve">Les résultats des évaluations ne correspondent que partiellement à l'ensemble des conditions validation du projet YDAYS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</si>
</sst>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%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6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u val="single"/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i val="true"/>
      <sz val="12"/>
      <color theme="0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C00000"/>
        <bgColor rgb="FF9C0006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D8D8D8"/>
        <bgColor rgb="FFC0C0C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ck">
        <color theme="0"/>
      </left>
      <right/>
      <top style="medium"/>
      <bottom style="medium"/>
      <diagonal/>
    </border>
    <border diagonalUp="false" diagonalDown="false">
      <left style="thick">
        <color theme="0"/>
      </left>
      <right style="thick">
        <color theme="0"/>
      </right>
      <top style="medium"/>
      <bottom style="medium"/>
      <diagonal/>
    </border>
    <border diagonalUp="false" diagonalDown="false">
      <left style="thick">
        <color theme="0"/>
      </left>
      <right style="thick">
        <color theme="0"/>
      </right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ck">
        <color theme="0"/>
      </left>
      <right style="thick">
        <color theme="0"/>
      </right>
      <top/>
      <bottom style="medium"/>
      <diagonal/>
    </border>
    <border diagonalUp="false" diagonalDown="false">
      <left style="thick">
        <color theme="0"/>
      </left>
      <right style="thick">
        <color theme="0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7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7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color rgb="FFFFFFFF"/>
      </font>
      <fill>
        <patternFill>
          <bgColor rgb="FFC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 val="1"/>
      </font>
      <fill>
        <patternFill>
          <bgColor rgb="FF92D05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</font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11.42"/>
    <col collapsed="false" customWidth="true" hidden="false" outlineLevel="0" max="7" min="3" style="0" width="12.71"/>
    <col collapsed="false" customWidth="true" hidden="false" outlineLevel="0" max="8" min="8" style="0" width="4.57"/>
    <col collapsed="false" customWidth="true" hidden="false" outlineLevel="0" max="9" min="9" style="0" width="11.43"/>
    <col collapsed="false" customWidth="true" hidden="true" outlineLevel="0" max="20" min="10" style="0" width="10.71"/>
    <col collapsed="false" customWidth="true" hidden="false" outlineLevel="0" max="26" min="21" style="0" width="10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41.25" hidden="false" customHeight="true" outlineLevel="0" collapsed="false">
      <c r="A3" s="1"/>
      <c r="B3" s="2"/>
      <c r="C3" s="2"/>
      <c r="D3" s="2"/>
      <c r="E3" s="2"/>
      <c r="F3" s="2"/>
      <c r="G3" s="2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24.45" hidden="false" customHeight="false" outlineLevel="0" collapsed="false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4" hidden="false" customHeight="true" outlineLevel="0" collapsed="false">
      <c r="A5" s="1"/>
      <c r="B5" s="4" t="s">
        <v>1</v>
      </c>
      <c r="C5" s="5"/>
      <c r="D5" s="5"/>
      <c r="E5" s="5"/>
      <c r="F5" s="5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4" hidden="false" customHeight="true" outlineLevel="0" collapsed="false">
      <c r="A6" s="1"/>
      <c r="B6" s="4" t="s">
        <v>2</v>
      </c>
      <c r="C6" s="5"/>
      <c r="D6" s="5"/>
      <c r="E6" s="5"/>
      <c r="F6" s="5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49.5" hidden="false" customHeight="true" outlineLevel="0" collapsed="false">
      <c r="A7" s="1"/>
      <c r="B7" s="8" t="s">
        <v>3</v>
      </c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7.35" hidden="false" customHeight="false" outlineLevel="0" collapsed="false">
      <c r="A8" s="1"/>
      <c r="B8" s="10"/>
      <c r="C8" s="10"/>
      <c r="D8" s="10"/>
      <c r="E8" s="10"/>
      <c r="F8" s="10"/>
      <c r="G8" s="10"/>
      <c r="H8" s="10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7.35" hidden="false" customHeight="false" outlineLevel="0" collapsed="false">
      <c r="A9" s="1"/>
      <c r="B9" s="11" t="s">
        <v>4</v>
      </c>
      <c r="C9" s="11"/>
      <c r="D9" s="11"/>
      <c r="E9" s="11"/>
      <c r="F9" s="11"/>
      <c r="G9" s="11"/>
      <c r="H9" s="10"/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0.75" hidden="false" customHeight="true" outlineLevel="0" collapsed="false">
      <c r="A10" s="1"/>
      <c r="B10" s="12" t="s">
        <v>5</v>
      </c>
      <c r="C10" s="13" t="s">
        <v>6</v>
      </c>
      <c r="D10" s="13" t="s">
        <v>7</v>
      </c>
      <c r="E10" s="13" t="s">
        <v>8</v>
      </c>
      <c r="F10" s="13" t="s">
        <v>9</v>
      </c>
      <c r="G10" s="13" t="s">
        <v>10</v>
      </c>
      <c r="H10" s="1"/>
      <c r="I10" s="1"/>
      <c r="J10" s="1"/>
      <c r="K10" s="1"/>
      <c r="L10" s="14" t="s">
        <v>6</v>
      </c>
      <c r="M10" s="14" t="s">
        <v>7</v>
      </c>
      <c r="N10" s="14" t="s">
        <v>8</v>
      </c>
      <c r="O10" s="15" t="s">
        <v>9</v>
      </c>
      <c r="P10" s="15" t="s">
        <v>10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1"/>
      <c r="C11" s="16"/>
      <c r="D11" s="16"/>
      <c r="E11" s="17"/>
      <c r="F11" s="18"/>
      <c r="G11" s="18"/>
      <c r="H11" s="1"/>
      <c r="I11" s="1"/>
      <c r="J11" s="1"/>
      <c r="K11" s="1"/>
      <c r="L11" s="14"/>
      <c r="M11" s="14"/>
      <c r="N11" s="14"/>
      <c r="O11" s="15"/>
      <c r="P11" s="1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true" customHeight="false" outlineLevel="0" collapsed="false">
      <c r="A12" s="1"/>
      <c r="B12" s="1"/>
      <c r="C12" s="14" t="n">
        <v>0</v>
      </c>
      <c r="D12" s="14" t="n">
        <v>0</v>
      </c>
      <c r="E12" s="14" t="n">
        <v>2.5</v>
      </c>
      <c r="F12" s="15" t="n">
        <v>3.5</v>
      </c>
      <c r="G12" s="15" t="n"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1"/>
      <c r="C13" s="6"/>
      <c r="D13" s="6"/>
      <c r="E13" s="6"/>
      <c r="F13" s="6"/>
      <c r="G13" s="6"/>
      <c r="H13" s="1"/>
      <c r="I13" s="1"/>
      <c r="J13" s="1"/>
      <c r="K13" s="1"/>
      <c r="L13" s="19" t="str">
        <f aca="false">IF(C13="x",$C$12,"")</f>
        <v/>
      </c>
      <c r="M13" s="19" t="str">
        <f aca="false">IF(D13="x",$D$12,"")</f>
        <v/>
      </c>
      <c r="N13" s="19" t="str">
        <f aca="false">IF(E13="x",$E$12,"")</f>
        <v/>
      </c>
      <c r="O13" s="19" t="str">
        <f aca="false">IF(F13="x",$F$12,"")</f>
        <v/>
      </c>
      <c r="P13" s="19" t="str">
        <f aca="false">IF(G13="x",$G$12,"")</f>
        <v/>
      </c>
      <c r="Q13" s="1"/>
      <c r="R13" s="1"/>
      <c r="S13" s="20"/>
      <c r="T13" s="2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"/>
      <c r="B14" s="22" t="s">
        <v>11</v>
      </c>
      <c r="C14" s="23"/>
      <c r="D14" s="23"/>
      <c r="E14" s="23"/>
      <c r="F14" s="23"/>
      <c r="G14" s="24"/>
      <c r="H14" s="1"/>
      <c r="I14" s="1"/>
      <c r="J14" s="1"/>
      <c r="K14" s="1"/>
      <c r="L14" s="25"/>
      <c r="M14" s="25"/>
      <c r="N14" s="25"/>
      <c r="O14" s="25"/>
      <c r="P14" s="2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/>
      <c r="B15" s="26" t="s">
        <v>12</v>
      </c>
      <c r="C15" s="27"/>
      <c r="D15" s="27"/>
      <c r="E15" s="27"/>
      <c r="F15" s="27"/>
      <c r="G15" s="28"/>
      <c r="H15" s="1"/>
      <c r="I15" s="29" t="e">
        <f aca="false">IF(SUM(T15:T18)&gt;=15,"Validé","Non validé")</f>
        <v>#DIV/0!</v>
      </c>
      <c r="J15" s="30" t="e">
        <f aca="false">SUM(T15:T18)</f>
        <v>#DIV/0!</v>
      </c>
      <c r="K15" s="31" t="str">
        <f aca="false">B15</f>
        <v>Introduit la genèse du projet ou le brief client s'il s'agit d'un projet extérieur (raison d'être, sens)</v>
      </c>
      <c r="L15" s="25" t="str">
        <f aca="false">IF(C15="x",$C$12,"")</f>
        <v/>
      </c>
      <c r="M15" s="25" t="str">
        <f aca="false">IF(D15="x",$D$12,"")</f>
        <v/>
      </c>
      <c r="N15" s="25" t="str">
        <f aca="false">IF(E15="x",$E$12,"")</f>
        <v/>
      </c>
      <c r="O15" s="25" t="str">
        <f aca="false">IF(F15="x",$F$12,"")</f>
        <v/>
      </c>
      <c r="P15" s="25" t="str">
        <f aca="false">IF(G15="x",$G$12,"")</f>
        <v/>
      </c>
      <c r="Q15" s="1"/>
      <c r="R15" s="1"/>
      <c r="S15" s="32" t="str">
        <f aca="false">K15</f>
        <v>Introduit la genèse du projet ou le brief client s'il s'agit d'un projet extérieur (raison d'être, sens)</v>
      </c>
      <c r="T15" s="15" t="e">
        <f aca="false">AVERAGE(L15:P15)</f>
        <v>#DIV/0!</v>
      </c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26" t="s">
        <v>13</v>
      </c>
      <c r="C16" s="27"/>
      <c r="D16" s="27"/>
      <c r="E16" s="27"/>
      <c r="F16" s="27"/>
      <c r="G16" s="28"/>
      <c r="H16" s="1"/>
      <c r="I16" s="29"/>
      <c r="J16" s="30"/>
      <c r="K16" s="31" t="str">
        <f aca="false">B16</f>
        <v>Identifie clairement la problématique et ses conséquences directes ou indirectes</v>
      </c>
      <c r="L16" s="25" t="str">
        <f aca="false">IF(C16="x",$C$12,"")</f>
        <v/>
      </c>
      <c r="M16" s="25" t="str">
        <f aca="false">IF(D16="x",$D$12,"")</f>
        <v/>
      </c>
      <c r="N16" s="25" t="str">
        <f aca="false">IF(E16="x",$E$12,"")</f>
        <v/>
      </c>
      <c r="O16" s="25" t="str">
        <f aca="false">IF(F16="x",$F$12,"")</f>
        <v/>
      </c>
      <c r="P16" s="25" t="str">
        <f aca="false">IF(G16="x",$G$12,"")</f>
        <v/>
      </c>
      <c r="Q16" s="1"/>
      <c r="R16" s="1"/>
      <c r="S16" s="32" t="str">
        <f aca="false">K16</f>
        <v>Identifie clairement la problématique et ses conséquences directes ou indirectes</v>
      </c>
      <c r="T16" s="15" t="e">
        <f aca="false">AVERAGE(L16:P16)</f>
        <v>#DIV/0!</v>
      </c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"/>
      <c r="B17" s="26" t="s">
        <v>14</v>
      </c>
      <c r="C17" s="27"/>
      <c r="D17" s="27"/>
      <c r="E17" s="27"/>
      <c r="F17" s="27"/>
      <c r="G17" s="28"/>
      <c r="H17" s="1"/>
      <c r="I17" s="29"/>
      <c r="J17" s="30"/>
      <c r="K17" s="31" t="str">
        <f aca="false">B17</f>
        <v>Présente le résultat des premières interviews terrain et vos conclusions</v>
      </c>
      <c r="L17" s="25" t="str">
        <f aca="false">IF(C17="x",$C$12,"")</f>
        <v/>
      </c>
      <c r="M17" s="25" t="str">
        <f aca="false">IF(D17="x",$D$12,"")</f>
        <v/>
      </c>
      <c r="N17" s="25" t="str">
        <f aca="false">IF(E17="x",$E$12,"")</f>
        <v/>
      </c>
      <c r="O17" s="25" t="str">
        <f aca="false">IF(F17="x",$F$12,"")</f>
        <v/>
      </c>
      <c r="P17" s="25" t="str">
        <f aca="false">IF(G17="x",$G$12,"")</f>
        <v/>
      </c>
      <c r="Q17" s="1"/>
      <c r="R17" s="1"/>
      <c r="S17" s="32" t="str">
        <f aca="false">K17</f>
        <v>Présente le résultat des premières interviews terrain et vos conclusions</v>
      </c>
      <c r="T17" s="15" t="e">
        <f aca="false">AVERAGE(L17:P17)</f>
        <v>#DIV/0!</v>
      </c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"/>
      <c r="B18" s="33" t="s">
        <v>15</v>
      </c>
      <c r="C18" s="34"/>
      <c r="D18" s="34"/>
      <c r="E18" s="34"/>
      <c r="F18" s="34"/>
      <c r="G18" s="35"/>
      <c r="H18" s="1"/>
      <c r="I18" s="29"/>
      <c r="J18" s="30"/>
      <c r="K18" s="31" t="str">
        <f aca="false">B18</f>
        <v>Clarté du problématique exposée</v>
      </c>
      <c r="L18" s="25" t="str">
        <f aca="false">IF(C18="x",$C$12,"")</f>
        <v/>
      </c>
      <c r="M18" s="25" t="str">
        <f aca="false">IF(D18="x",$D$12,"")</f>
        <v/>
      </c>
      <c r="N18" s="25" t="str">
        <f aca="false">IF(E18="x",$E$12,"")</f>
        <v/>
      </c>
      <c r="O18" s="25" t="str">
        <f aca="false">IF(F18="x",$F$12,"")</f>
        <v/>
      </c>
      <c r="P18" s="25" t="str">
        <f aca="false">IF(G18="x",$G$12,"")</f>
        <v/>
      </c>
      <c r="Q18" s="1"/>
      <c r="R18" s="1"/>
      <c r="S18" s="32" t="str">
        <f aca="false">K18</f>
        <v>Clarté du problématique exposée</v>
      </c>
      <c r="T18" s="15" t="e">
        <f aca="false">AVERAGE(L18:P18)</f>
        <v>#DIV/0!</v>
      </c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1"/>
      <c r="C19" s="6"/>
      <c r="D19" s="6"/>
      <c r="E19" s="6"/>
      <c r="F19" s="6"/>
      <c r="G19" s="6"/>
      <c r="H19" s="1"/>
      <c r="I19" s="1"/>
      <c r="J19" s="1"/>
      <c r="K19" s="31"/>
      <c r="L19" s="25" t="str">
        <f aca="false">IF(C19="x",$C$12,"")</f>
        <v/>
      </c>
      <c r="M19" s="25" t="str">
        <f aca="false">IF(D19="x",$D$12,"")</f>
        <v/>
      </c>
      <c r="N19" s="25" t="str">
        <f aca="false">IF(E19="x",$E$12,"")</f>
        <v/>
      </c>
      <c r="O19" s="25" t="str">
        <f aca="false">IF(F19="x",$F$12,"")</f>
        <v/>
      </c>
      <c r="P19" s="25" t="str">
        <f aca="false">IF(G19="x",$G$12,"")</f>
        <v/>
      </c>
      <c r="Q19" s="1"/>
      <c r="R19" s="1"/>
      <c r="S19" s="32"/>
      <c r="T19" s="15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22" t="s">
        <v>16</v>
      </c>
      <c r="C20" s="23"/>
      <c r="D20" s="23"/>
      <c r="E20" s="23"/>
      <c r="F20" s="23"/>
      <c r="G20" s="24"/>
      <c r="H20" s="1"/>
      <c r="I20" s="1"/>
      <c r="J20" s="1"/>
      <c r="K20" s="31"/>
      <c r="L20" s="25"/>
      <c r="M20" s="25"/>
      <c r="N20" s="25"/>
      <c r="O20" s="25"/>
      <c r="P20" s="25"/>
      <c r="Q20" s="1"/>
      <c r="R20" s="1"/>
      <c r="S20" s="32"/>
      <c r="T20" s="15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26" t="s">
        <v>17</v>
      </c>
      <c r="C21" s="27"/>
      <c r="D21" s="27"/>
      <c r="E21" s="27"/>
      <c r="F21" s="27"/>
      <c r="G21" s="28"/>
      <c r="H21" s="1"/>
      <c r="I21" s="29" t="e">
        <f aca="false">IF(SUM(T21:T24)&gt;=15,"Validé","Non validé")</f>
        <v>#DIV/0!</v>
      </c>
      <c r="J21" s="30" t="e">
        <f aca="false">SUM(T21:T24)</f>
        <v>#DIV/0!</v>
      </c>
      <c r="K21" s="31" t="str">
        <f aca="false">B21</f>
        <v>Présente l'organisation et le pilotage du projet (rétroplanning, outil de gestion projets)</v>
      </c>
      <c r="L21" s="25" t="str">
        <f aca="false">IF(C21="x",$C$12,"")</f>
        <v/>
      </c>
      <c r="M21" s="25" t="str">
        <f aca="false">IF(D21="x",$D$12,"")</f>
        <v/>
      </c>
      <c r="N21" s="25" t="str">
        <f aca="false">IF(E21="x",$E$12,"")</f>
        <v/>
      </c>
      <c r="O21" s="25" t="str">
        <f aca="false">IF(F21="x",$F$12,"")</f>
        <v/>
      </c>
      <c r="P21" s="25" t="str">
        <f aca="false">IF(G21="x",$G$12,"")</f>
        <v/>
      </c>
      <c r="Q21" s="1"/>
      <c r="R21" s="1"/>
      <c r="S21" s="32" t="str">
        <f aca="false">K21</f>
        <v>Présente l'organisation et le pilotage du projet (rétroplanning, outil de gestion projets)</v>
      </c>
      <c r="T21" s="15" t="e">
        <f aca="false">AVERAGE(L21:P21)</f>
        <v>#DIV/0!</v>
      </c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26" t="s">
        <v>18</v>
      </c>
      <c r="C22" s="27"/>
      <c r="D22" s="27"/>
      <c r="E22" s="27"/>
      <c r="F22" s="27"/>
      <c r="G22" s="28"/>
      <c r="H22" s="1"/>
      <c r="I22" s="29"/>
      <c r="J22" s="30"/>
      <c r="K22" s="31" t="str">
        <f aca="false">B22</f>
        <v>Détaille les étapes importantes du projet, les livrables et les deadlines associés</v>
      </c>
      <c r="L22" s="25" t="str">
        <f aca="false">IF(C22="x",$C$12,"")</f>
        <v/>
      </c>
      <c r="M22" s="25" t="str">
        <f aca="false">IF(D22="x",$D$12,"")</f>
        <v/>
      </c>
      <c r="N22" s="25" t="str">
        <f aca="false">IF(E22="x",$E$12,"")</f>
        <v/>
      </c>
      <c r="O22" s="25" t="str">
        <f aca="false">IF(F22="x",$F$12,"")</f>
        <v/>
      </c>
      <c r="P22" s="25" t="str">
        <f aca="false">IF(G22="x",$G$12,"")</f>
        <v/>
      </c>
      <c r="Q22" s="1"/>
      <c r="R22" s="1"/>
      <c r="S22" s="32" t="str">
        <f aca="false">K22</f>
        <v>Détaille les étapes importantes du projet, les livrables et les deadlines associés</v>
      </c>
      <c r="T22" s="15" t="e">
        <f aca="false">AVERAGE(L22:P22)</f>
        <v>#DIV/0!</v>
      </c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26" t="s">
        <v>19</v>
      </c>
      <c r="C23" s="27"/>
      <c r="D23" s="27"/>
      <c r="E23" s="27"/>
      <c r="F23" s="27"/>
      <c r="G23" s="28"/>
      <c r="H23" s="1"/>
      <c r="I23" s="29"/>
      <c r="J23" s="30"/>
      <c r="K23" s="31" t="str">
        <f aca="false">B23</f>
        <v>Détaille les risques du projet </v>
      </c>
      <c r="L23" s="25" t="str">
        <f aca="false">IF(C23="x",$C$12,"")</f>
        <v/>
      </c>
      <c r="M23" s="25" t="str">
        <f aca="false">IF(D23="x",$D$12,"")</f>
        <v/>
      </c>
      <c r="N23" s="25" t="str">
        <f aca="false">IF(E23="x",$E$12,"")</f>
        <v/>
      </c>
      <c r="O23" s="25" t="str">
        <f aca="false">IF(F23="x",$F$12,"")</f>
        <v/>
      </c>
      <c r="P23" s="25" t="str">
        <f aca="false">IF(G23="x",$G$12,"")</f>
        <v/>
      </c>
      <c r="Q23" s="1"/>
      <c r="R23" s="1"/>
      <c r="S23" s="32" t="str">
        <f aca="false">K23</f>
        <v>Détaille les risques du projet </v>
      </c>
      <c r="T23" s="15" t="e">
        <f aca="false">AVERAGE(L23:P23)</f>
        <v>#DIV/0!</v>
      </c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/>
      <c r="B24" s="36" t="s">
        <v>20</v>
      </c>
      <c r="C24" s="34"/>
      <c r="D24" s="34"/>
      <c r="E24" s="34"/>
      <c r="F24" s="34"/>
      <c r="G24" s="35"/>
      <c r="H24" s="1"/>
      <c r="I24" s="29"/>
      <c r="J24" s="30"/>
      <c r="K24" s="31" t="str">
        <f aca="false">B24</f>
        <v>Explique le système d'organisation mis en place au sein de l'équipe (fonctionnement et rituels)</v>
      </c>
      <c r="L24" s="25" t="str">
        <f aca="false">IF(C24="x",$C$12,"")</f>
        <v/>
      </c>
      <c r="M24" s="25" t="str">
        <f aca="false">IF(D24="x",$D$12,"")</f>
        <v/>
      </c>
      <c r="N24" s="25" t="str">
        <f aca="false">IF(E24="x",$E$12,"")</f>
        <v/>
      </c>
      <c r="O24" s="25" t="str">
        <f aca="false">IF(F24="x",$F$12,"")</f>
        <v/>
      </c>
      <c r="P24" s="25" t="str">
        <f aca="false">IF(G24="x",$G$12,"")</f>
        <v/>
      </c>
      <c r="Q24" s="1"/>
      <c r="R24" s="1"/>
      <c r="S24" s="32" t="str">
        <f aca="false">K24</f>
        <v>Explique le système d'organisation mis en place au sein de l'équipe (fonctionnement et rituels)</v>
      </c>
      <c r="T24" s="15" t="e">
        <f aca="false">AVERAGE(L24:P24)</f>
        <v>#DIV/0!</v>
      </c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6"/>
      <c r="D25" s="6"/>
      <c r="E25" s="6"/>
      <c r="F25" s="6"/>
      <c r="G25" s="6"/>
      <c r="H25" s="1"/>
      <c r="I25" s="1"/>
      <c r="J25" s="1"/>
      <c r="K25" s="1"/>
      <c r="L25" s="25" t="str">
        <f aca="false">IF(C25="x",$C$12,"")</f>
        <v/>
      </c>
      <c r="M25" s="25" t="str">
        <f aca="false">IF(D25="x",$D$12,"")</f>
        <v/>
      </c>
      <c r="N25" s="25" t="str">
        <f aca="false">IF(E25="x",$E$12,"")</f>
        <v/>
      </c>
      <c r="O25" s="25" t="str">
        <f aca="false">IF(F25="x",$F$12,"")</f>
        <v/>
      </c>
      <c r="P25" s="25" t="str">
        <f aca="false">IF(G25="x",$G$12,"")</f>
        <v/>
      </c>
      <c r="Q25" s="1"/>
      <c r="R25" s="1"/>
      <c r="S25" s="32"/>
      <c r="T25" s="15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37" t="s">
        <v>21</v>
      </c>
      <c r="C26" s="38"/>
      <c r="D26" s="38"/>
      <c r="E26" s="38"/>
      <c r="F26" s="38"/>
      <c r="G26" s="39"/>
      <c r="H26" s="1"/>
      <c r="I26" s="1"/>
      <c r="J26" s="1"/>
      <c r="K26" s="1"/>
      <c r="L26" s="25" t="str">
        <f aca="false">IF(C26="x",$C$12,"")</f>
        <v/>
      </c>
      <c r="M26" s="25" t="str">
        <f aca="false">IF(D26="x",$D$12,"")</f>
        <v/>
      </c>
      <c r="N26" s="25" t="str">
        <f aca="false">IF(E26="x",$E$12,"")</f>
        <v/>
      </c>
      <c r="O26" s="25" t="str">
        <f aca="false">IF(F26="x",$F$12,"")</f>
        <v/>
      </c>
      <c r="P26" s="25" t="str">
        <f aca="false">IF(G26="x",$G$12,"")</f>
        <v/>
      </c>
      <c r="Q26" s="1"/>
      <c r="R26" s="1"/>
      <c r="S26" s="32"/>
      <c r="T26" s="15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40" t="s">
        <v>22</v>
      </c>
      <c r="C27" s="41"/>
      <c r="D27" s="41"/>
      <c r="E27" s="41"/>
      <c r="F27" s="41"/>
      <c r="G27" s="41"/>
      <c r="H27" s="1"/>
      <c r="I27" s="29" t="e">
        <f aca="false">IF(SUM(T27:T29)&gt;=7.5,"Validé","Non validé")</f>
        <v>#DIV/0!</v>
      </c>
      <c r="J27" s="30" t="e">
        <f aca="false">SUM(T27:T29)</f>
        <v>#DIV/0!</v>
      </c>
      <c r="K27" s="31" t="str">
        <f aca="false">B27</f>
        <v>Capacité à répondre aux questions</v>
      </c>
      <c r="L27" s="25" t="str">
        <f aca="false">IF(C27="x",$C$12,"")</f>
        <v/>
      </c>
      <c r="M27" s="25" t="str">
        <f aca="false">IF(D27="x",$D$12,"")</f>
        <v/>
      </c>
      <c r="N27" s="25" t="str">
        <f aca="false">IF(E27="x",$E$12,"")</f>
        <v/>
      </c>
      <c r="O27" s="25" t="str">
        <f aca="false">IF(F27="x",$F$12,"")</f>
        <v/>
      </c>
      <c r="P27" s="25" t="str">
        <f aca="false">IF(G27="x",$G$12,"")</f>
        <v/>
      </c>
      <c r="Q27" s="1"/>
      <c r="R27" s="1"/>
      <c r="S27" s="32" t="str">
        <f aca="false">K27</f>
        <v>Capacité à répondre aux questions</v>
      </c>
      <c r="T27" s="15" t="e">
        <f aca="false">AVERAGE(L27:P27)</f>
        <v>#DIV/0!</v>
      </c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42" t="s">
        <v>23</v>
      </c>
      <c r="C28" s="28"/>
      <c r="D28" s="28"/>
      <c r="E28" s="28"/>
      <c r="F28" s="28"/>
      <c r="G28" s="28"/>
      <c r="H28" s="1"/>
      <c r="I28" s="29"/>
      <c r="J28" s="30"/>
      <c r="K28" s="31" t="str">
        <f aca="false">B28</f>
        <v>Les questions sont traitées avec concision</v>
      </c>
      <c r="L28" s="25" t="str">
        <f aca="false">IF(C28="x",$C$12,"")</f>
        <v/>
      </c>
      <c r="M28" s="25" t="str">
        <f aca="false">IF(D28="x",$D$12,"")</f>
        <v/>
      </c>
      <c r="N28" s="25" t="str">
        <f aca="false">IF(E28="x",$E$12,"")</f>
        <v/>
      </c>
      <c r="O28" s="25" t="str">
        <f aca="false">IF(F28="x",$F$12,"")</f>
        <v/>
      </c>
      <c r="P28" s="25" t="str">
        <f aca="false">IF(G28="x",$G$12,"")</f>
        <v/>
      </c>
      <c r="Q28" s="1"/>
      <c r="R28" s="1"/>
      <c r="S28" s="32" t="str">
        <f aca="false">K28</f>
        <v>Les questions sont traitées avec concision</v>
      </c>
      <c r="T28" s="15" t="e">
        <f aca="false">AVERAGE(L28:P28)</f>
        <v>#DIV/0!</v>
      </c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43" t="s">
        <v>24</v>
      </c>
      <c r="C29" s="35"/>
      <c r="D29" s="35"/>
      <c r="E29" s="35"/>
      <c r="F29" s="35"/>
      <c r="G29" s="35"/>
      <c r="H29" s="1"/>
      <c r="I29" s="29"/>
      <c r="J29" s="30"/>
      <c r="K29" s="31" t="str">
        <f aca="false">B29</f>
        <v>L'argumentation est solide et s'appuie sur des faits. Les justifications sont pertinentes, concrètes et cohérentes. </v>
      </c>
      <c r="L29" s="25" t="str">
        <f aca="false">IF(C29="x",$C$12,"")</f>
        <v/>
      </c>
      <c r="M29" s="25" t="str">
        <f aca="false">IF(D29="x",$D$12,"")</f>
        <v/>
      </c>
      <c r="N29" s="25" t="str">
        <f aca="false">IF(E29="x",$E$12,"")</f>
        <v/>
      </c>
      <c r="O29" s="25" t="str">
        <f aca="false">IF(F29="x",$F$12,"")</f>
        <v/>
      </c>
      <c r="P29" s="25" t="str">
        <f aca="false">IF(G29="x",$G$12,"")</f>
        <v/>
      </c>
      <c r="Q29" s="1"/>
      <c r="R29" s="1"/>
      <c r="S29" s="32" t="str">
        <f aca="false">K29</f>
        <v>L'argumentation est solide et s'appuie sur des faits. Les justifications sont pertinentes, concrètes et cohérentes. </v>
      </c>
      <c r="T29" s="15" t="e">
        <f aca="false">AVERAGE(L29:P29)</f>
        <v>#DIV/0!</v>
      </c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6"/>
      <c r="D30" s="6"/>
      <c r="E30" s="6"/>
      <c r="F30" s="6"/>
      <c r="G30" s="6"/>
      <c r="H30" s="1"/>
      <c r="I30" s="1"/>
      <c r="J30" s="1"/>
      <c r="K30" s="1"/>
      <c r="L30" s="25" t="str">
        <f aca="false">IF(C30="x",$C$12,"")</f>
        <v/>
      </c>
      <c r="M30" s="25" t="str">
        <f aca="false">IF(D30="x",$D$12,"")</f>
        <v/>
      </c>
      <c r="N30" s="25" t="str">
        <f aca="false">IF(E30="x",$E$12,"")</f>
        <v/>
      </c>
      <c r="O30" s="25" t="str">
        <f aca="false">IF(F30="x",$F$12,"")</f>
        <v/>
      </c>
      <c r="P30" s="25" t="str">
        <f aca="false">IF(G30="x",$G$12,"")</f>
        <v/>
      </c>
      <c r="Q30" s="1"/>
      <c r="R30" s="1"/>
      <c r="S30" s="32"/>
      <c r="T30" s="15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37" t="s">
        <v>25</v>
      </c>
      <c r="C31" s="38"/>
      <c r="D31" s="38"/>
      <c r="E31" s="38"/>
      <c r="F31" s="38"/>
      <c r="G31" s="39"/>
      <c r="H31" s="1"/>
      <c r="I31" s="1"/>
      <c r="J31" s="1"/>
      <c r="K31" s="1"/>
      <c r="L31" s="25" t="str">
        <f aca="false">IF(C31="x",$C$12,"")</f>
        <v/>
      </c>
      <c r="M31" s="25" t="str">
        <f aca="false">IF(D31="x",$D$12,"")</f>
        <v/>
      </c>
      <c r="N31" s="25" t="str">
        <f aca="false">IF(E31="x",$E$12,"")</f>
        <v/>
      </c>
      <c r="O31" s="25" t="str">
        <f aca="false">IF(F31="x",$F$12,"")</f>
        <v/>
      </c>
      <c r="P31" s="25" t="str">
        <f aca="false">IF(G31="x",$G$12,"")</f>
        <v/>
      </c>
      <c r="Q31" s="1"/>
      <c r="R31" s="1"/>
      <c r="S31" s="32"/>
      <c r="T31" s="15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40" t="s">
        <v>26</v>
      </c>
      <c r="C32" s="41"/>
      <c r="D32" s="41"/>
      <c r="E32" s="41"/>
      <c r="F32" s="41"/>
      <c r="G32" s="41"/>
      <c r="H32" s="1"/>
      <c r="I32" s="29" t="e">
        <f aca="false">IF(SUM(T32:T37)&gt;=15,"Validé","Non validé")</f>
        <v>#DIV/0!</v>
      </c>
      <c r="J32" s="30" t="e">
        <f aca="false">SUM(T32:T37)</f>
        <v>#DIV/0!</v>
      </c>
      <c r="K32" s="31" t="str">
        <f aca="false">B32</f>
        <v>L'équipe s'exprime avec aisance</v>
      </c>
      <c r="L32" s="25" t="str">
        <f aca="false">IF(C32="x",$C$12,"")</f>
        <v/>
      </c>
      <c r="M32" s="25" t="str">
        <f aca="false">IF(D32="x",$D$12,"")</f>
        <v/>
      </c>
      <c r="N32" s="25" t="str">
        <f aca="false">IF(E32="x",$E$12,"")</f>
        <v/>
      </c>
      <c r="O32" s="25" t="str">
        <f aca="false">IF(F32="x",$F$12,"")</f>
        <v/>
      </c>
      <c r="P32" s="25" t="str">
        <f aca="false">IF(G32="x",$G$12,"")</f>
        <v/>
      </c>
      <c r="Q32" s="1"/>
      <c r="R32" s="1"/>
      <c r="S32" s="32" t="str">
        <f aca="false">K32</f>
        <v>L'équipe s'exprime avec aisance</v>
      </c>
      <c r="T32" s="15" t="e">
        <f aca="false">AVERAGE(L32:P32)</f>
        <v>#DIV/0!</v>
      </c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42" t="s">
        <v>27</v>
      </c>
      <c r="C33" s="28"/>
      <c r="D33" s="28"/>
      <c r="E33" s="28"/>
      <c r="F33" s="28"/>
      <c r="G33" s="28"/>
      <c r="H33" s="1"/>
      <c r="I33" s="29"/>
      <c r="J33" s="30"/>
      <c r="K33" s="31" t="str">
        <f aca="false">B33</f>
        <v>La présentation a été préparée et le discours est adapté au jury</v>
      </c>
      <c r="L33" s="25" t="str">
        <f aca="false">IF(C33="x",$C$12,"")</f>
        <v/>
      </c>
      <c r="M33" s="25" t="str">
        <f aca="false">IF(D33="x",$D$12,"")</f>
        <v/>
      </c>
      <c r="N33" s="25" t="str">
        <f aca="false">IF(E33="x",$E$12,"")</f>
        <v/>
      </c>
      <c r="O33" s="25" t="str">
        <f aca="false">IF(F33="x",$F$12,"")</f>
        <v/>
      </c>
      <c r="P33" s="25" t="str">
        <f aca="false">IF(G33="x",$G$12,"")</f>
        <v/>
      </c>
      <c r="Q33" s="1"/>
      <c r="R33" s="1"/>
      <c r="S33" s="32" t="str">
        <f aca="false">K33</f>
        <v>La présentation a été préparée et le discours est adapté au jury</v>
      </c>
      <c r="T33" s="15" t="e">
        <f aca="false">AVERAGE(L33:P33)</f>
        <v>#DIV/0!</v>
      </c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42" t="s">
        <v>28</v>
      </c>
      <c r="C34" s="28"/>
      <c r="D34" s="28"/>
      <c r="E34" s="28"/>
      <c r="F34" s="28"/>
      <c r="G34" s="28"/>
      <c r="H34" s="1"/>
      <c r="I34" s="29"/>
      <c r="J34" s="30"/>
      <c r="K34" s="31" t="str">
        <f aca="false">B34</f>
        <v>Capacité de l'équipe à être claire et pédagogue</v>
      </c>
      <c r="L34" s="25" t="str">
        <f aca="false">IF(C34="x",$C$12,"")</f>
        <v/>
      </c>
      <c r="M34" s="25" t="str">
        <f aca="false">IF(D34="x",$D$12,"")</f>
        <v/>
      </c>
      <c r="N34" s="25" t="str">
        <f aca="false">IF(E34="x",$E$12,"")</f>
        <v/>
      </c>
      <c r="O34" s="25" t="str">
        <f aca="false">IF(F34="x",$F$12,"")</f>
        <v/>
      </c>
      <c r="P34" s="25" t="str">
        <f aca="false">IF(G34="x",$G$12,"")</f>
        <v/>
      </c>
      <c r="Q34" s="1"/>
      <c r="R34" s="1"/>
      <c r="S34" s="32" t="str">
        <f aca="false">K34</f>
        <v>Capacité de l'équipe à être claire et pédagogue</v>
      </c>
      <c r="T34" s="15" t="e">
        <f aca="false">AVERAGE(L34:P34)</f>
        <v>#DIV/0!</v>
      </c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42" t="s">
        <v>29</v>
      </c>
      <c r="C35" s="28"/>
      <c r="D35" s="28"/>
      <c r="E35" s="28"/>
      <c r="F35" s="28"/>
      <c r="G35" s="28"/>
      <c r="H35" s="1"/>
      <c r="I35" s="29"/>
      <c r="J35" s="30"/>
      <c r="K35" s="31" t="str">
        <f aca="false">B35</f>
        <v>Le timing de présentation (10') est respecté</v>
      </c>
      <c r="L35" s="25" t="str">
        <f aca="false">IF(C35="x",$C$12,"")</f>
        <v/>
      </c>
      <c r="M35" s="25" t="str">
        <f aca="false">IF(D35="x",$D$12,"")</f>
        <v/>
      </c>
      <c r="N35" s="25" t="str">
        <f aca="false">IF(E35="x",$E$12,"")</f>
        <v/>
      </c>
      <c r="O35" s="25" t="str">
        <f aca="false">IF(F35="x",$F$12,"")</f>
        <v/>
      </c>
      <c r="P35" s="25" t="str">
        <f aca="false">IF(G35="x",$G$12,"")</f>
        <v/>
      </c>
      <c r="Q35" s="1"/>
      <c r="R35" s="1"/>
      <c r="S35" s="32" t="str">
        <f aca="false">K35</f>
        <v>Le timing de présentation (10') est respecté</v>
      </c>
      <c r="T35" s="15" t="e">
        <f aca="false">AVERAGE(L35:P35)</f>
        <v>#DIV/0!</v>
      </c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42" t="s">
        <v>30</v>
      </c>
      <c r="C36" s="28"/>
      <c r="D36" s="28"/>
      <c r="E36" s="28"/>
      <c r="F36" s="28"/>
      <c r="G36" s="28"/>
      <c r="H36" s="1"/>
      <c r="I36" s="29"/>
      <c r="J36" s="30"/>
      <c r="K36" s="31" t="str">
        <f aca="false">B36</f>
        <v>La répartition du temps de parole est adaptée en fonction du rôle et des compétences de chacun</v>
      </c>
      <c r="L36" s="25" t="str">
        <f aca="false">IF(C36="x",$C$12,"")</f>
        <v/>
      </c>
      <c r="M36" s="25" t="str">
        <f aca="false">IF(D36="x",$D$12,"")</f>
        <v/>
      </c>
      <c r="N36" s="25" t="str">
        <f aca="false">IF(E36="x",$E$12,"")</f>
        <v/>
      </c>
      <c r="O36" s="25" t="str">
        <f aca="false">IF(F36="x",$F$12,"")</f>
        <v/>
      </c>
      <c r="P36" s="25" t="str">
        <f aca="false">IF(G36="x",$G$12,"")</f>
        <v/>
      </c>
      <c r="Q36" s="1"/>
      <c r="R36" s="1"/>
      <c r="S36" s="32" t="str">
        <f aca="false">K36</f>
        <v>La répartition du temps de parole est adaptée en fonction du rôle et des compétences de chacun</v>
      </c>
      <c r="T36" s="15" t="e">
        <f aca="false">AVERAGE(L36:P36)</f>
        <v>#DIV/0!</v>
      </c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43" t="s">
        <v>31</v>
      </c>
      <c r="C37" s="35"/>
      <c r="D37" s="35"/>
      <c r="E37" s="35"/>
      <c r="F37" s="35"/>
      <c r="G37" s="35"/>
      <c r="H37" s="1"/>
      <c r="I37" s="29"/>
      <c r="J37" s="30"/>
      <c r="K37" s="31" t="str">
        <f aca="false">B37</f>
        <v>Posture professionnelle (attitude, niveau de langue, tenue adaptée)</v>
      </c>
      <c r="L37" s="25" t="str">
        <f aca="false">IF(C37="x",$C$12,"")</f>
        <v/>
      </c>
      <c r="M37" s="25" t="str">
        <f aca="false">IF(D37="x",$D$12,"")</f>
        <v/>
      </c>
      <c r="N37" s="25" t="str">
        <f aca="false">IF(E37="x",$E$12,"")</f>
        <v/>
      </c>
      <c r="O37" s="25" t="str">
        <f aca="false">IF(F37="x",$F$12,"")</f>
        <v/>
      </c>
      <c r="P37" s="25" t="str">
        <f aca="false">IF(G37="x",$G$12,"")</f>
        <v/>
      </c>
      <c r="Q37" s="1"/>
      <c r="R37" s="1"/>
      <c r="S37" s="32" t="str">
        <f aca="false">K37</f>
        <v>Posture professionnelle (attitude, niveau de langue, tenue adaptée)</v>
      </c>
      <c r="T37" s="15" t="e">
        <f aca="false">AVERAGE(L37:P37)</f>
        <v>#DIV/0!</v>
      </c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6"/>
      <c r="D38" s="6"/>
      <c r="E38" s="6"/>
      <c r="F38" s="6"/>
      <c r="G38" s="6"/>
      <c r="H38" s="1"/>
      <c r="I38" s="1"/>
      <c r="J38" s="1"/>
      <c r="K38" s="1"/>
      <c r="L38" s="25" t="str">
        <f aca="false">IF(C38="x",$C$12,"")</f>
        <v/>
      </c>
      <c r="M38" s="25" t="str">
        <f aca="false">IF(D38="x",$D$12,"")</f>
        <v/>
      </c>
      <c r="N38" s="25" t="str">
        <f aca="false">IF(E38="x",$E$12,"")</f>
        <v/>
      </c>
      <c r="O38" s="25" t="str">
        <f aca="false">IF(F38="x",$F$12,"")</f>
        <v/>
      </c>
      <c r="P38" s="25" t="str">
        <f aca="false">IF(G38="x",$G$12,"")</f>
        <v/>
      </c>
      <c r="Q38" s="1"/>
      <c r="R38" s="1"/>
      <c r="S38" s="32"/>
      <c r="T38" s="15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37" t="s">
        <v>32</v>
      </c>
      <c r="C39" s="38"/>
      <c r="D39" s="38"/>
      <c r="E39" s="38"/>
      <c r="F39" s="38"/>
      <c r="G39" s="39"/>
      <c r="H39" s="1"/>
      <c r="I39" s="1"/>
      <c r="J39" s="1"/>
      <c r="K39" s="1"/>
      <c r="L39" s="25" t="str">
        <f aca="false">IF(C39="x",$C$12,"")</f>
        <v/>
      </c>
      <c r="M39" s="25" t="str">
        <f aca="false">IF(D39="x",$D$12,"")</f>
        <v/>
      </c>
      <c r="N39" s="25" t="str">
        <f aca="false">IF(E39="x",$E$12,"")</f>
        <v/>
      </c>
      <c r="O39" s="25" t="str">
        <f aca="false">IF(F39="x",$F$12,"")</f>
        <v/>
      </c>
      <c r="P39" s="25" t="str">
        <f aca="false">IF(G39="x",$G$12,"")</f>
        <v/>
      </c>
      <c r="Q39" s="1"/>
      <c r="R39" s="1"/>
      <c r="S39" s="32"/>
      <c r="T39" s="15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40" t="s">
        <v>33</v>
      </c>
      <c r="C40" s="41"/>
      <c r="D40" s="41"/>
      <c r="E40" s="41"/>
      <c r="F40" s="41"/>
      <c r="G40" s="41"/>
      <c r="H40" s="1"/>
      <c r="I40" s="29" t="e">
        <f aca="false">IF(SUM(T40:T44)&gt;=12.5,"Validé","Non validé")</f>
        <v>#DIV/0!</v>
      </c>
      <c r="J40" s="30" t="e">
        <f aca="false">SUM(T40:T44)</f>
        <v>#DIV/0!</v>
      </c>
      <c r="K40" s="31" t="str">
        <f aca="false">B40</f>
        <v>Le support est clair et agréable </v>
      </c>
      <c r="L40" s="25" t="str">
        <f aca="false">IF(C40="x",$C$12,"")</f>
        <v/>
      </c>
      <c r="M40" s="25" t="str">
        <f aca="false">IF(D40="x",$D$12,"")</f>
        <v/>
      </c>
      <c r="N40" s="25" t="str">
        <f aca="false">IF(E40="x",$E$12,"")</f>
        <v/>
      </c>
      <c r="O40" s="25" t="str">
        <f aca="false">IF(F40="x",$F$12,"")</f>
        <v/>
      </c>
      <c r="P40" s="25" t="str">
        <f aca="false">IF(G40="x",$G$12,"")</f>
        <v/>
      </c>
      <c r="Q40" s="1"/>
      <c r="R40" s="1"/>
      <c r="S40" s="32" t="str">
        <f aca="false">K40</f>
        <v>Le support est clair et agréable </v>
      </c>
      <c r="T40" s="15" t="e">
        <f aca="false">AVERAGE(L40:P40)</f>
        <v>#DIV/0!</v>
      </c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42" t="s">
        <v>34</v>
      </c>
      <c r="C41" s="28"/>
      <c r="D41" s="28"/>
      <c r="E41" s="28"/>
      <c r="F41" s="28"/>
      <c r="G41" s="28"/>
      <c r="H41" s="1"/>
      <c r="I41" s="29"/>
      <c r="J41" s="30"/>
      <c r="K41" s="31" t="str">
        <f aca="false">B41</f>
        <v>Le support est structuré</v>
      </c>
      <c r="L41" s="25" t="str">
        <f aca="false">IF(C41="x",$C$12,"")</f>
        <v/>
      </c>
      <c r="M41" s="25" t="str">
        <f aca="false">IF(D41="x",$D$12,"")</f>
        <v/>
      </c>
      <c r="N41" s="25" t="str">
        <f aca="false">IF(E41="x",$E$12,"")</f>
        <v/>
      </c>
      <c r="O41" s="25" t="str">
        <f aca="false">IF(F41="x",$F$12,"")</f>
        <v/>
      </c>
      <c r="P41" s="25" t="str">
        <f aca="false">IF(G41="x",$G$12,"")</f>
        <v/>
      </c>
      <c r="Q41" s="1"/>
      <c r="R41" s="1"/>
      <c r="S41" s="32" t="str">
        <f aca="false">K41</f>
        <v>Le support est structuré</v>
      </c>
      <c r="T41" s="15" t="e">
        <f aca="false">AVERAGE(L41:P41)</f>
        <v>#DIV/0!</v>
      </c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42" t="s">
        <v>35</v>
      </c>
      <c r="C42" s="28"/>
      <c r="D42" s="28"/>
      <c r="E42" s="28"/>
      <c r="F42" s="28"/>
      <c r="G42" s="28"/>
      <c r="H42" s="1"/>
      <c r="I42" s="29"/>
      <c r="J42" s="30"/>
      <c r="K42" s="31" t="str">
        <f aca="false">B42</f>
        <v>Le support vient appuyer la présentation orale</v>
      </c>
      <c r="L42" s="25" t="str">
        <f aca="false">IF(C42="x",$C$12,"")</f>
        <v/>
      </c>
      <c r="M42" s="25" t="str">
        <f aca="false">IF(D42="x",$D$12,"")</f>
        <v/>
      </c>
      <c r="N42" s="25" t="str">
        <f aca="false">IF(E42="x",$E$12,"")</f>
        <v/>
      </c>
      <c r="O42" s="25" t="str">
        <f aca="false">IF(F42="x",$F$12,"")</f>
        <v/>
      </c>
      <c r="P42" s="25" t="str">
        <f aca="false">IF(G42="x",$G$12,"")</f>
        <v/>
      </c>
      <c r="Q42" s="1"/>
      <c r="R42" s="1"/>
      <c r="S42" s="32" t="str">
        <f aca="false">K42</f>
        <v>Le support vient appuyer la présentation orale</v>
      </c>
      <c r="T42" s="15" t="e">
        <f aca="false">AVERAGE(L42:P42)</f>
        <v>#DIV/0!</v>
      </c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42" t="s">
        <v>36</v>
      </c>
      <c r="C43" s="28"/>
      <c r="D43" s="28"/>
      <c r="E43" s="28"/>
      <c r="F43" s="28"/>
      <c r="G43" s="28"/>
      <c r="H43" s="1"/>
      <c r="I43" s="29"/>
      <c r="J43" s="30"/>
      <c r="K43" s="31" t="str">
        <f aca="false">B43</f>
        <v>Capacité de l'équipe à ne pas lire le support</v>
      </c>
      <c r="L43" s="25" t="str">
        <f aca="false">IF(C43="x",$C$12,"")</f>
        <v/>
      </c>
      <c r="M43" s="25" t="str">
        <f aca="false">IF(D43="x",$D$12,"")</f>
        <v/>
      </c>
      <c r="N43" s="25" t="str">
        <f aca="false">IF(E43="x",$E$12,"")</f>
        <v/>
      </c>
      <c r="O43" s="25" t="str">
        <f aca="false">IF(F43="x",$F$12,"")</f>
        <v/>
      </c>
      <c r="P43" s="25" t="str">
        <f aca="false">IF(G43="x",$G$12,"")</f>
        <v/>
      </c>
      <c r="Q43" s="1"/>
      <c r="R43" s="1"/>
      <c r="S43" s="32" t="str">
        <f aca="false">K43</f>
        <v>Capacité de l'équipe à ne pas lire le support</v>
      </c>
      <c r="T43" s="15" t="e">
        <f aca="false">AVERAGE(L43:P43)</f>
        <v>#DIV/0!</v>
      </c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43" t="s">
        <v>37</v>
      </c>
      <c r="C44" s="35"/>
      <c r="D44" s="35"/>
      <c r="E44" s="35"/>
      <c r="F44" s="35"/>
      <c r="G44" s="35"/>
      <c r="H44" s="1"/>
      <c r="I44" s="29"/>
      <c r="J44" s="30"/>
      <c r="K44" s="31" t="str">
        <f aca="false">B44</f>
        <v>Fautes d'orthographe, syntaxe, grammaire</v>
      </c>
      <c r="L44" s="25" t="str">
        <f aca="false">IF(C44="x",$C$12,"")</f>
        <v/>
      </c>
      <c r="M44" s="25" t="str">
        <f aca="false">IF(D44="x",$D$12,"")</f>
        <v/>
      </c>
      <c r="N44" s="25" t="str">
        <f aca="false">IF(E44="x",$E$12,"")</f>
        <v/>
      </c>
      <c r="O44" s="25" t="str">
        <f aca="false">IF(F44="x",$F$12,"")</f>
        <v/>
      </c>
      <c r="P44" s="25" t="str">
        <f aca="false">IF(G44="x",$G$12,"")</f>
        <v/>
      </c>
      <c r="Q44" s="1"/>
      <c r="R44" s="1"/>
      <c r="S44" s="32" t="str">
        <f aca="false">K44</f>
        <v>Fautes d'orthographe, syntaxe, grammaire</v>
      </c>
      <c r="T44" s="15" t="e">
        <f aca="false">AVERAGE(L44:P44)</f>
        <v>#DIV/0!</v>
      </c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6"/>
      <c r="D45" s="6"/>
      <c r="E45" s="6"/>
      <c r="F45" s="6"/>
      <c r="G45" s="6"/>
      <c r="H45" s="1"/>
      <c r="I45" s="1"/>
      <c r="J45" s="1" t="e">
        <f aca="false">SUM(J15:J44)</f>
        <v>#DIV/0!</v>
      </c>
      <c r="K45" s="1"/>
      <c r="L45" s="19" t="str">
        <f aca="false">IF(C45="x",$C$12,"")</f>
        <v/>
      </c>
      <c r="M45" s="19" t="str">
        <f aca="false">IF(D45="x",$D$12,"")</f>
        <v/>
      </c>
      <c r="N45" s="19" t="str">
        <f aca="false">IF(E45="x",$E$12,"")</f>
        <v/>
      </c>
      <c r="O45" s="19" t="str">
        <f aca="false">IF(F45="x",$F$12,"")</f>
        <v/>
      </c>
      <c r="P45" s="19" t="str">
        <f aca="false">IF(G45="x",$G$12,"")</f>
        <v/>
      </c>
      <c r="Q45" s="1"/>
      <c r="R45" s="1"/>
      <c r="S45" s="20" t="n">
        <f aca="false">K45</f>
        <v>0</v>
      </c>
      <c r="T45" s="21"/>
      <c r="U45" s="1"/>
      <c r="V45" s="1"/>
      <c r="W45" s="1"/>
      <c r="X45" s="1"/>
      <c r="Y45" s="1"/>
      <c r="Z45" s="1"/>
    </row>
    <row r="46" customFormat="false" ht="28.35" hidden="false" customHeight="false" outlineLevel="0" collapsed="false">
      <c r="A46" s="1"/>
      <c r="B46" s="1"/>
      <c r="C46" s="13" t="s">
        <v>6</v>
      </c>
      <c r="D46" s="13" t="s">
        <v>7</v>
      </c>
      <c r="E46" s="13" t="s">
        <v>8</v>
      </c>
      <c r="F46" s="13" t="s">
        <v>9</v>
      </c>
      <c r="G46" s="13" t="s">
        <v>10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32"/>
      <c r="T46" s="1"/>
      <c r="U46" s="1"/>
      <c r="V46" s="1"/>
      <c r="W46" s="1"/>
      <c r="X46" s="1"/>
      <c r="Y46" s="1"/>
      <c r="Z46" s="1"/>
    </row>
    <row r="47" customFormat="false" ht="15" hidden="false" customHeight="false" outlineLevel="0" collapsed="false">
      <c r="A47" s="1"/>
      <c r="B47" s="1"/>
      <c r="C47" s="44" t="n">
        <f aca="false">K47/22</f>
        <v>0</v>
      </c>
      <c r="D47" s="44" t="n">
        <f aca="false">L47/22</f>
        <v>0</v>
      </c>
      <c r="E47" s="45" t="n">
        <f aca="false">M47/22</f>
        <v>0</v>
      </c>
      <c r="F47" s="46" t="n">
        <f aca="false">N47/22</f>
        <v>0</v>
      </c>
      <c r="G47" s="46" t="n">
        <f aca="false">O47/22</f>
        <v>0</v>
      </c>
      <c r="H47" s="1"/>
      <c r="I47" s="1"/>
      <c r="J47" s="1"/>
      <c r="K47" s="13" t="n">
        <f aca="false">COUNTIF(C15:C45,"x")</f>
        <v>0</v>
      </c>
      <c r="L47" s="13" t="n">
        <f aca="false">COUNTIF(D15:D45,"x")</f>
        <v>0</v>
      </c>
      <c r="M47" s="13" t="n">
        <f aca="false">COUNTIF(E15:E45,"x")</f>
        <v>0</v>
      </c>
      <c r="N47" s="13" t="n">
        <f aca="false">COUNTIF(F15:F45,"x")</f>
        <v>0</v>
      </c>
      <c r="O47" s="47" t="n">
        <f aca="false">COUNTIF(G15:G45,"x")</f>
        <v>0</v>
      </c>
      <c r="P47" s="1"/>
      <c r="Q47" s="1"/>
      <c r="R47" s="1"/>
      <c r="S47" s="32"/>
      <c r="T47" s="1"/>
      <c r="U47" s="1"/>
      <c r="V47" s="1"/>
      <c r="W47" s="1"/>
      <c r="X47" s="1"/>
      <c r="Y47" s="1"/>
      <c r="Z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0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48" t="n">
        <f aca="false">(K47+L47)/22</f>
        <v>0</v>
      </c>
      <c r="D49" s="48"/>
      <c r="E49" s="49" t="n">
        <f aca="false">E47</f>
        <v>0</v>
      </c>
      <c r="F49" s="50" t="n">
        <f aca="false">(N47+O47)/22</f>
        <v>0</v>
      </c>
      <c r="G49" s="5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32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6"/>
      <c r="D50" s="6"/>
      <c r="E50" s="6"/>
      <c r="F50" s="6"/>
      <c r="G50" s="6"/>
      <c r="H50" s="1"/>
      <c r="I50" s="1"/>
      <c r="J50" s="6" t="e">
        <f aca="false">IF(I15="Validé",1,0)</f>
        <v>#DIV/0!</v>
      </c>
      <c r="K50" s="1"/>
      <c r="L50" s="1"/>
      <c r="M50" s="1"/>
      <c r="N50" s="1"/>
      <c r="O50" s="1"/>
      <c r="P50" s="1"/>
      <c r="Q50" s="1"/>
      <c r="R50" s="1"/>
      <c r="S50" s="20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51" t="s">
        <v>38</v>
      </c>
      <c r="D51" s="6"/>
      <c r="E51" s="6"/>
      <c r="F51" s="6"/>
      <c r="G51" s="6"/>
      <c r="H51" s="1"/>
      <c r="I51" s="1"/>
      <c r="J51" s="6" t="e">
        <f aca="false">IF(I21="Validé",1,0)</f>
        <v>#DIV/0!</v>
      </c>
      <c r="K51" s="1"/>
      <c r="L51" s="1"/>
      <c r="M51" s="1"/>
      <c r="N51" s="1"/>
      <c r="O51" s="1"/>
      <c r="P51" s="1"/>
      <c r="Q51" s="1"/>
      <c r="R51" s="1"/>
      <c r="S51" s="20"/>
      <c r="T51" s="1"/>
      <c r="U51" s="1"/>
      <c r="V51" s="1"/>
      <c r="W51" s="1"/>
      <c r="X51" s="1"/>
      <c r="Y51" s="1"/>
      <c r="Z51" s="1"/>
    </row>
    <row r="52" customFormat="false" ht="18.75" hidden="false" customHeight="true" outlineLevel="0" collapsed="false">
      <c r="A52" s="1"/>
      <c r="B52" s="1"/>
      <c r="C52" s="52" t="e">
        <f aca="false">J45/5.5</f>
        <v>#DIV/0!</v>
      </c>
      <c r="D52" s="52"/>
      <c r="E52" s="6"/>
      <c r="F52" s="6"/>
      <c r="G52" s="6"/>
      <c r="H52" s="1"/>
      <c r="I52" s="1"/>
      <c r="J52" s="6" t="e">
        <f aca="false">IF(I27="Validé",1,0)</f>
        <v>#DIV/0!</v>
      </c>
      <c r="K52" s="1"/>
      <c r="L52" s="1"/>
      <c r="M52" s="1"/>
      <c r="N52" s="1"/>
      <c r="O52" s="1"/>
      <c r="P52" s="1"/>
      <c r="Q52" s="1"/>
      <c r="R52" s="1"/>
      <c r="S52" s="20"/>
      <c r="T52" s="1"/>
      <c r="U52" s="1"/>
      <c r="V52" s="1"/>
      <c r="W52" s="1"/>
      <c r="X52" s="1"/>
      <c r="Y52" s="1"/>
      <c r="Z52" s="1"/>
    </row>
    <row r="53" customFormat="false" ht="18.75" hidden="false" customHeight="true" outlineLevel="0" collapsed="false">
      <c r="A53" s="1"/>
      <c r="B53" s="1"/>
      <c r="C53" s="52"/>
      <c r="D53" s="52"/>
      <c r="E53" s="1"/>
      <c r="F53" s="1"/>
      <c r="G53" s="1"/>
      <c r="H53" s="1"/>
      <c r="I53" s="1"/>
      <c r="J53" s="6" t="e">
        <f aca="false">IF(I32="Validé",1,0)</f>
        <v>#DIV/0!</v>
      </c>
      <c r="K53" s="1"/>
      <c r="L53" s="1"/>
      <c r="M53" s="1"/>
      <c r="N53" s="1"/>
      <c r="O53" s="1"/>
      <c r="P53" s="1"/>
      <c r="Q53" s="1"/>
      <c r="R53" s="1"/>
      <c r="S53" s="20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"/>
      <c r="B54" s="1"/>
      <c r="C54" s="53" t="e">
        <f aca="false">IF(J57=5,L56,L57)</f>
        <v>#DIV/0!</v>
      </c>
      <c r="D54" s="53"/>
      <c r="E54" s="53"/>
      <c r="F54" s="53"/>
      <c r="G54" s="53"/>
      <c r="H54" s="1"/>
      <c r="I54" s="1"/>
      <c r="J54" s="6" t="e">
        <f aca="false">IF(I40="Validé",1,0)</f>
        <v>#DIV/0!</v>
      </c>
      <c r="K54" s="1"/>
      <c r="L54" s="1"/>
      <c r="M54" s="1"/>
      <c r="N54" s="1"/>
      <c r="O54" s="1"/>
      <c r="P54" s="1"/>
      <c r="Q54" s="1"/>
      <c r="R54" s="1"/>
      <c r="S54" s="20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54"/>
      <c r="C55" s="54"/>
      <c r="D55" s="54"/>
      <c r="E55" s="54"/>
      <c r="F55" s="54"/>
      <c r="G55" s="54"/>
      <c r="H55" s="1"/>
      <c r="I55" s="1"/>
      <c r="J55" s="6"/>
      <c r="K55" s="1"/>
      <c r="L55" s="1"/>
      <c r="M55" s="1"/>
      <c r="N55" s="1"/>
      <c r="O55" s="1"/>
      <c r="P55" s="1"/>
      <c r="Q55" s="1"/>
      <c r="R55" s="1"/>
      <c r="S55" s="20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51" t="s">
        <v>39</v>
      </c>
      <c r="C56" s="1"/>
      <c r="D56" s="1"/>
      <c r="E56" s="1"/>
      <c r="F56" s="1"/>
      <c r="G56" s="1"/>
      <c r="H56" s="1"/>
      <c r="I56" s="1"/>
      <c r="J56" s="6"/>
      <c r="K56" s="1"/>
      <c r="L56" s="20" t="s">
        <v>40</v>
      </c>
      <c r="M56" s="1"/>
      <c r="N56" s="1"/>
      <c r="O56" s="1"/>
      <c r="P56" s="1"/>
      <c r="Q56" s="1"/>
      <c r="R56" s="1"/>
      <c r="S56" s="20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55"/>
      <c r="C57" s="56"/>
      <c r="D57" s="56"/>
      <c r="E57" s="56"/>
      <c r="F57" s="56"/>
      <c r="G57" s="57"/>
      <c r="H57" s="1"/>
      <c r="I57" s="1"/>
      <c r="J57" s="58" t="e">
        <f aca="false">SUM(J50:J56)</f>
        <v>#DIV/0!</v>
      </c>
      <c r="K57" s="1"/>
      <c r="L57" s="20" t="s">
        <v>41</v>
      </c>
      <c r="M57" s="1"/>
      <c r="N57" s="1"/>
      <c r="O57" s="1"/>
      <c r="P57" s="1"/>
      <c r="Q57" s="1"/>
      <c r="R57" s="1"/>
      <c r="S57" s="20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59"/>
      <c r="C58" s="60"/>
      <c r="D58" s="60"/>
      <c r="E58" s="60"/>
      <c r="F58" s="60"/>
      <c r="G58" s="61"/>
      <c r="H58" s="1"/>
      <c r="I58" s="1"/>
      <c r="J58" s="62"/>
      <c r="K58" s="1"/>
      <c r="L58" s="20"/>
      <c r="M58" s="1"/>
      <c r="N58" s="1"/>
      <c r="O58" s="1"/>
      <c r="P58" s="1"/>
      <c r="Q58" s="1"/>
      <c r="R58" s="1"/>
      <c r="S58" s="20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59"/>
      <c r="C59" s="60"/>
      <c r="D59" s="60"/>
      <c r="E59" s="60"/>
      <c r="F59" s="60"/>
      <c r="G59" s="61"/>
      <c r="H59" s="1"/>
      <c r="I59" s="1"/>
      <c r="J59" s="62"/>
      <c r="K59" s="1"/>
      <c r="L59" s="20"/>
      <c r="M59" s="1"/>
      <c r="N59" s="1"/>
      <c r="O59" s="1"/>
      <c r="P59" s="1"/>
      <c r="Q59" s="1"/>
      <c r="R59" s="1"/>
      <c r="S59" s="20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59"/>
      <c r="C60" s="60"/>
      <c r="D60" s="60"/>
      <c r="E60" s="60"/>
      <c r="F60" s="60"/>
      <c r="G60" s="61"/>
      <c r="H60" s="1"/>
      <c r="I60" s="1"/>
      <c r="J60" s="62"/>
      <c r="K60" s="1"/>
      <c r="L60" s="20"/>
      <c r="M60" s="1"/>
      <c r="N60" s="1"/>
      <c r="O60" s="1"/>
      <c r="P60" s="1"/>
      <c r="Q60" s="1"/>
      <c r="R60" s="1"/>
      <c r="S60" s="20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59"/>
      <c r="C61" s="60"/>
      <c r="D61" s="60"/>
      <c r="E61" s="60"/>
      <c r="F61" s="60"/>
      <c r="G61" s="61"/>
      <c r="H61" s="1"/>
      <c r="I61" s="1"/>
      <c r="J61" s="62"/>
      <c r="K61" s="1"/>
      <c r="L61" s="20"/>
      <c r="M61" s="1"/>
      <c r="N61" s="1"/>
      <c r="O61" s="1"/>
      <c r="P61" s="1"/>
      <c r="Q61" s="1"/>
      <c r="R61" s="1"/>
      <c r="S61" s="20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59"/>
      <c r="C62" s="60"/>
      <c r="D62" s="60"/>
      <c r="E62" s="60"/>
      <c r="F62" s="60"/>
      <c r="G62" s="61"/>
      <c r="H62" s="1"/>
      <c r="I62" s="1"/>
      <c r="J62" s="62"/>
      <c r="K62" s="1"/>
      <c r="L62" s="20"/>
      <c r="M62" s="1"/>
      <c r="N62" s="1"/>
      <c r="O62" s="1"/>
      <c r="P62" s="1"/>
      <c r="Q62" s="1"/>
      <c r="R62" s="1"/>
      <c r="S62" s="20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59"/>
      <c r="C63" s="60"/>
      <c r="D63" s="60"/>
      <c r="E63" s="60"/>
      <c r="F63" s="60"/>
      <c r="G63" s="61"/>
      <c r="H63" s="1"/>
      <c r="I63" s="1"/>
      <c r="J63" s="62"/>
      <c r="K63" s="1"/>
      <c r="L63" s="20"/>
      <c r="M63" s="1"/>
      <c r="N63" s="1"/>
      <c r="O63" s="1"/>
      <c r="P63" s="1"/>
      <c r="Q63" s="1"/>
      <c r="R63" s="1"/>
      <c r="S63" s="20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59"/>
      <c r="C64" s="60"/>
      <c r="D64" s="60"/>
      <c r="E64" s="60"/>
      <c r="F64" s="60"/>
      <c r="G64" s="61"/>
      <c r="H64" s="1"/>
      <c r="I64" s="1"/>
      <c r="J64" s="62"/>
      <c r="K64" s="1"/>
      <c r="L64" s="20"/>
      <c r="M64" s="1"/>
      <c r="N64" s="1"/>
      <c r="O64" s="1"/>
      <c r="P64" s="1"/>
      <c r="Q64" s="1"/>
      <c r="R64" s="1"/>
      <c r="S64" s="20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59"/>
      <c r="C65" s="60"/>
      <c r="D65" s="60"/>
      <c r="E65" s="60"/>
      <c r="F65" s="60"/>
      <c r="G65" s="61"/>
      <c r="H65" s="1"/>
      <c r="I65" s="1"/>
      <c r="J65" s="62"/>
      <c r="K65" s="1"/>
      <c r="L65" s="20"/>
      <c r="M65" s="1"/>
      <c r="N65" s="1"/>
      <c r="O65" s="1"/>
      <c r="P65" s="1"/>
      <c r="Q65" s="1"/>
      <c r="R65" s="1"/>
      <c r="S65" s="20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59"/>
      <c r="C66" s="60"/>
      <c r="D66" s="60"/>
      <c r="E66" s="60"/>
      <c r="F66" s="60"/>
      <c r="G66" s="61"/>
      <c r="H66" s="1"/>
      <c r="I66" s="1"/>
      <c r="J66" s="62"/>
      <c r="K66" s="1"/>
      <c r="L66" s="20"/>
      <c r="M66" s="1"/>
      <c r="N66" s="1"/>
      <c r="O66" s="1"/>
      <c r="P66" s="1"/>
      <c r="Q66" s="1"/>
      <c r="R66" s="1"/>
      <c r="S66" s="20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59"/>
      <c r="C67" s="60"/>
      <c r="D67" s="60"/>
      <c r="E67" s="60"/>
      <c r="F67" s="60"/>
      <c r="G67" s="61"/>
      <c r="H67" s="1"/>
      <c r="I67" s="1"/>
      <c r="J67" s="62"/>
      <c r="K67" s="1"/>
      <c r="L67" s="20"/>
      <c r="M67" s="1"/>
      <c r="N67" s="1"/>
      <c r="O67" s="1"/>
      <c r="P67" s="1"/>
      <c r="Q67" s="1"/>
      <c r="R67" s="1"/>
      <c r="S67" s="20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59"/>
      <c r="C68" s="60"/>
      <c r="D68" s="60"/>
      <c r="E68" s="60"/>
      <c r="F68" s="60"/>
      <c r="G68" s="61"/>
      <c r="H68" s="1"/>
      <c r="I68" s="1"/>
      <c r="J68" s="62"/>
      <c r="K68" s="1"/>
      <c r="L68" s="20"/>
      <c r="M68" s="1"/>
      <c r="N68" s="1"/>
      <c r="O68" s="1"/>
      <c r="P68" s="1"/>
      <c r="Q68" s="1"/>
      <c r="R68" s="1"/>
      <c r="S68" s="20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59"/>
      <c r="C69" s="60"/>
      <c r="D69" s="60"/>
      <c r="E69" s="60"/>
      <c r="F69" s="60"/>
      <c r="G69" s="61"/>
      <c r="H69" s="1"/>
      <c r="I69" s="1"/>
      <c r="J69" s="62"/>
      <c r="K69" s="1"/>
      <c r="L69" s="20"/>
      <c r="M69" s="1"/>
      <c r="N69" s="1"/>
      <c r="O69" s="1"/>
      <c r="P69" s="1"/>
      <c r="Q69" s="1"/>
      <c r="R69" s="1"/>
      <c r="S69" s="20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59"/>
      <c r="C70" s="60"/>
      <c r="D70" s="60"/>
      <c r="E70" s="60"/>
      <c r="F70" s="60"/>
      <c r="G70" s="61"/>
      <c r="H70" s="1"/>
      <c r="I70" s="1"/>
      <c r="J70" s="62"/>
      <c r="K70" s="1"/>
      <c r="L70" s="20"/>
      <c r="M70" s="1"/>
      <c r="N70" s="1"/>
      <c r="O70" s="1"/>
      <c r="P70" s="1"/>
      <c r="Q70" s="1"/>
      <c r="R70" s="1"/>
      <c r="S70" s="20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59"/>
      <c r="C71" s="60"/>
      <c r="D71" s="60"/>
      <c r="E71" s="60"/>
      <c r="F71" s="60"/>
      <c r="G71" s="61"/>
      <c r="H71" s="1"/>
      <c r="I71" s="1"/>
      <c r="J71" s="62"/>
      <c r="K71" s="1"/>
      <c r="L71" s="20"/>
      <c r="M71" s="1"/>
      <c r="N71" s="1"/>
      <c r="O71" s="1"/>
      <c r="P71" s="1"/>
      <c r="Q71" s="1"/>
      <c r="R71" s="1"/>
      <c r="S71" s="20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59"/>
      <c r="C72" s="60"/>
      <c r="D72" s="60"/>
      <c r="E72" s="60"/>
      <c r="F72" s="60"/>
      <c r="G72" s="61"/>
      <c r="H72" s="1"/>
      <c r="I72" s="1"/>
      <c r="J72" s="62"/>
      <c r="K72" s="1"/>
      <c r="L72" s="20"/>
      <c r="M72" s="1"/>
      <c r="N72" s="1"/>
      <c r="O72" s="1"/>
      <c r="P72" s="1"/>
      <c r="Q72" s="1"/>
      <c r="R72" s="1"/>
      <c r="S72" s="20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59"/>
      <c r="C73" s="60"/>
      <c r="D73" s="60"/>
      <c r="E73" s="60"/>
      <c r="F73" s="60"/>
      <c r="G73" s="6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0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59"/>
      <c r="C74" s="60"/>
      <c r="D74" s="60"/>
      <c r="E74" s="60"/>
      <c r="F74" s="60"/>
      <c r="G74" s="6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0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59"/>
      <c r="C75" s="60"/>
      <c r="D75" s="60"/>
      <c r="E75" s="60"/>
      <c r="F75" s="60"/>
      <c r="G75" s="6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0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59"/>
      <c r="C76" s="60"/>
      <c r="D76" s="60"/>
      <c r="E76" s="60"/>
      <c r="F76" s="60"/>
      <c r="G76" s="6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0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63"/>
      <c r="C77" s="64"/>
      <c r="D77" s="64"/>
      <c r="E77" s="64"/>
      <c r="F77" s="64"/>
      <c r="G77" s="6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20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0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20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0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20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0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20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0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20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0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0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0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20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0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0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0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20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0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20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0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20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0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0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0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0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0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0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0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0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0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0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0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0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0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0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0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0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0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0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0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0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0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0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0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0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0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0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0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0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0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0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0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0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0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0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0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0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0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0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0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0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0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0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0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0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0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0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0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0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0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0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0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0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0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0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0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0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0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0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0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0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0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0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0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0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0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0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0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0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0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0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0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0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0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0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0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0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0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0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0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0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0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0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0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0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0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0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0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0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0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0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0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0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0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0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0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0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0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0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0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0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0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0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0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0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0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0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0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0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0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0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0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2:G3"/>
    <mergeCell ref="C5:F5"/>
    <mergeCell ref="C6:F6"/>
    <mergeCell ref="C7:F7"/>
    <mergeCell ref="B9:G9"/>
    <mergeCell ref="I15:I18"/>
    <mergeCell ref="J15:J18"/>
    <mergeCell ref="I21:I24"/>
    <mergeCell ref="J21:J24"/>
    <mergeCell ref="I27:I29"/>
    <mergeCell ref="J27:J29"/>
    <mergeCell ref="I32:I37"/>
    <mergeCell ref="J32:J37"/>
    <mergeCell ref="I40:I44"/>
    <mergeCell ref="J40:J44"/>
    <mergeCell ref="C49:D49"/>
    <mergeCell ref="F49:G49"/>
    <mergeCell ref="C52:D53"/>
  </mergeCells>
  <conditionalFormatting sqref="C15:D18 C21:D24 C27:D29 C32:D37 C40:D44">
    <cfRule type="containsText" priority="2" operator="containsText" aboveAverage="0" equalAverage="0" bottom="0" percent="0" rank="0" text="x" dxfId="0">
      <formula>NOT(ISERROR(SEARCH("x",C15)))</formula>
    </cfRule>
    <cfRule type="containsText" priority="3" operator="containsText" aboveAverage="0" equalAverage="0" bottom="0" percent="0" rank="0" text="x" dxfId="1">
      <formula>NOT(ISERROR(SEARCH("x",C15)))</formula>
    </cfRule>
    <cfRule type="containsText" priority="4" operator="containsText" aboveAverage="0" equalAverage="0" bottom="0" percent="0" rank="0" text="x" dxfId="2">
      <formula>NOT(ISERROR(SEARCH("x",C15)))</formula>
    </cfRule>
  </conditionalFormatting>
  <conditionalFormatting sqref="E15:E18 E21:E24 E27:E29 E32:E37 E40:E44">
    <cfRule type="containsText" priority="5" operator="containsText" aboveAverage="0" equalAverage="0" bottom="0" percent="0" rank="0" text="x" dxfId="3">
      <formula>NOT(ISERROR(SEARCH("x",E15)))</formula>
    </cfRule>
    <cfRule type="containsText" priority="6" operator="containsText" aboveAverage="0" equalAverage="0" bottom="0" percent="0" rank="0" text="x" dxfId="4">
      <formula>NOT(ISERROR(SEARCH("x",E15)))</formula>
    </cfRule>
    <cfRule type="containsText" priority="7" operator="containsText" aboveAverage="0" equalAverage="0" bottom="0" percent="0" rank="0" text="x" dxfId="5">
      <formula>NOT(ISERROR(SEARCH("x",E15)))</formula>
    </cfRule>
  </conditionalFormatting>
  <conditionalFormatting sqref="F15:G18 F21:G24 F27:G29 F32:G37 F40:G44">
    <cfRule type="containsText" priority="8" operator="containsText" aboveAverage="0" equalAverage="0" bottom="0" percent="0" rank="0" text="x" dxfId="6">
      <formula>NOT(ISERROR(SEARCH("x",F15)))</formula>
    </cfRule>
    <cfRule type="containsText" priority="9" operator="containsText" aboveAverage="0" equalAverage="0" bottom="0" percent="0" rank="0" text="x" dxfId="7">
      <formula>NOT(ISERROR(SEARCH("x",F15)))</formula>
    </cfRule>
  </conditionalFormatting>
  <conditionalFormatting sqref="I15:I18 I21:I24 I27:I29 I32:I37 I40:I44">
    <cfRule type="containsText" priority="10" operator="containsText" aboveAverage="0" equalAverage="0" bottom="0" percent="0" rank="0" text="Non validé" dxfId="8">
      <formula>NOT(ISERROR(SEARCH("Non validé",I15)))</formula>
    </cfRule>
    <cfRule type="containsText" priority="11" operator="containsText" aboveAverage="0" equalAverage="0" bottom="0" percent="0" rank="0" text="Validé" dxfId="9">
      <formula>NOT(ISERROR(SEARCH("Validé",I15)))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2021-11-03T13:56:44Z</dcterms:created>
  <dc:creator>JOUAN Jérôme</dc:creator>
  <dc:description/>
  <dc:language>en-US</dc:language>
  <cp:lastModifiedBy>GUERIN Alexandra</cp:lastModifiedBy>
  <dcterms:modified xsi:type="dcterms:W3CDTF">2025-11-21T12:45:14Z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